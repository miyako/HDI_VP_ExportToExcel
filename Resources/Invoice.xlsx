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showSheetTabs="0" xWindow="0" yWindow="0" windowWidth="25200" windowHeight="1198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0" i="1" l="1"/>
  <c r="K32" i="1" s="1"/>
  <c r="K34" i="1" s="1"/>
  <c r="K28" i="1"/>
  <c r="G28" i="1"/>
  <c r="K36" i="1" l="1"/>
  <c r="K40" i="1" s="1"/>
  <c r="K35" i="1"/>
</calcChain>
</file>

<file path=xl/sharedStrings.xml><?xml version="1.0" encoding="utf-8"?>
<sst xmlns="http://schemas.openxmlformats.org/spreadsheetml/2006/main" count="31" uniqueCount="31">
  <si>
    <t>INVOICE</t>
  </si>
  <si>
    <t>Invoice date: 12/12/17</t>
  </si>
  <si>
    <t>Due date: 02/10/18</t>
  </si>
  <si>
    <t>PRO_13_069 -Smith residence</t>
  </si>
  <si>
    <t>Construction of a detached house</t>
  </si>
  <si>
    <t xml:space="preserve">    BARZAC</t>
  </si>
  <si>
    <t xml:space="preserve">    95 S. Market Street</t>
  </si>
  <si>
    <t xml:space="preserve">    San Jose, CA 95113</t>
  </si>
  <si>
    <t>Estimated cost of work (Excl tax): $190,000.00</t>
  </si>
  <si>
    <t>Provisional amount of remuneration (Excl tax): $20,900.00</t>
  </si>
  <si>
    <t>Elements of missions</t>
  </si>
  <si>
    <t>%</t>
  </si>
  <si>
    <t>Pre-tax</t>
  </si>
  <si>
    <t xml:space="preserve">                                            Progress</t>
  </si>
  <si>
    <t>amount</t>
  </si>
  <si>
    <t>Rate</t>
  </si>
  <si>
    <t>Pre-tax amount</t>
  </si>
  <si>
    <t>Preliminary design</t>
  </si>
  <si>
    <t>Building Permit Filing</t>
  </si>
  <si>
    <t>General Contractor duties</t>
  </si>
  <si>
    <t>Site management</t>
  </si>
  <si>
    <t>Inspection management</t>
  </si>
  <si>
    <t>Total</t>
  </si>
  <si>
    <t xml:space="preserve">Total costs (excl tax): </t>
  </si>
  <si>
    <t xml:space="preserve">Previously billed amt (excl tax): </t>
  </si>
  <si>
    <t xml:space="preserve">Subtotal (excl tax): </t>
  </si>
  <si>
    <t xml:space="preserve">Amount excl tax: </t>
  </si>
  <si>
    <t xml:space="preserve">tax 20%: </t>
  </si>
  <si>
    <t xml:space="preserve">Amount incl tax: </t>
  </si>
  <si>
    <t xml:space="preserve">Direct payments to subcontractors : </t>
  </si>
  <si>
    <t xml:space="preserve">Total Amount due (incl tax):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</si>
</sst>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\$#,##0.00;[Red]\(\$#,##0.00\)"/>
  </numFmts>
  <fonts count="10" x14ac:knownFonts="1">
    <font>
      <sz val="11"/>
      <color rgb="FF000000"/>
      <name val="Calibri"/>
      <scheme val="minor"/>
    </font>
    <font>
      <sz val="8"/>
      <name val="Times New Roman"/>
    </font>
    <font>
      <sz val="8"/>
      <color rgb="FF800000"/>
      <name val="Times New Roman"/>
    </font>
    <font>
      <sz val="8"/>
      <color rgb="FFFF0000"/>
      <name val="Times New Roman"/>
    </font>
    <font>
      <b/>
      <sz val="12"/>
      <name val="Times New Roman"/>
    </font>
    <font>
      <b/>
      <sz val="12"/>
      <color rgb="FFFFFFFF"/>
      <name val="Times New Roman"/>
    </font>
    <font>
      <sz val="12"/>
      <name val="Times New Roman"/>
    </font>
    <font>
      <sz val="12"/>
      <color rgb="FF0000FF"/>
      <name val="Times New Roman"/>
    </font>
    <font>
      <sz val="12"/>
      <color rgb="FFFFFFFF"/>
      <name val="Times New Roman"/>
    </font>
    <font>
      <b/>
      <sz val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CAAC0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66">
    <xf numFmtId="0" fontId="0" fillId="0" borderId="0" xfId="0" applyFo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10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68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168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68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68" fontId="4" fillId="2" borderId="8" xfId="0" applyNumberFormat="1" applyFont="1" applyFill="1" applyBorder="1" applyAlignment="1">
      <alignment vertical="center"/>
    </xf>
    <xf numFmtId="168" fontId="6" fillId="0" borderId="4" xfId="0" applyNumberFormat="1" applyFont="1" applyBorder="1" applyAlignment="1">
      <alignment vertical="center"/>
    </xf>
    <xf numFmtId="168" fontId="6" fillId="0" borderId="5" xfId="0" applyNumberFormat="1" applyFont="1" applyBorder="1" applyAlignment="1">
      <alignment vertical="center"/>
    </xf>
    <xf numFmtId="168" fontId="6" fillId="0" borderId="6" xfId="0" applyNumberFormat="1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68" fontId="6" fillId="0" borderId="9" xfId="0" applyNumberFormat="1" applyFont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right" vertical="center"/>
    </xf>
    <xf numFmtId="0" fontId="6" fillId="2" borderId="14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0"/>
  <sheetViews>
    <sheetView tabSelected="1" topLeftCell="A10" workbookViewId="0">
      <selection activeCell="L41" sqref="L41"/>
    </sheetView>
  </sheetViews>
  <sheetFormatPr baseColWidth="10" defaultColWidth="8.85546875" defaultRowHeight="15" customHeight="1" x14ac:dyDescent="0.25"/>
  <cols>
    <col min="1" max="1" width="3.42578125" customWidth="1"/>
    <col min="6" max="6" width="11.140625" customWidth="1"/>
    <col min="7" max="7" width="14.140625" customWidth="1"/>
    <col min="10" max="10" width="10.85546875" customWidth="1"/>
    <col min="11" max="11" width="17.85546875" customWidth="1"/>
  </cols>
  <sheetData>
    <row r="2" spans="2:11" ht="15" customHeight="1" x14ac:dyDescent="0.2">
      <c r="B2" s="1"/>
      <c r="C2" s="2"/>
      <c r="D2" s="2"/>
      <c r="E2" s="2"/>
      <c r="F2" s="2"/>
      <c r="G2" s="2"/>
      <c r="H2" s="2"/>
      <c r="I2" s="2"/>
      <c r="J2" s="1"/>
      <c r="K2" s="55" t="s">
        <v>0</v>
      </c>
    </row>
    <row r="3" spans="2:11" ht="15" customHeight="1" x14ac:dyDescent="0.2">
      <c r="B3" s="1"/>
      <c r="C3" s="2"/>
      <c r="D3" s="2"/>
      <c r="E3" s="2"/>
      <c r="F3" s="2"/>
      <c r="G3" s="2"/>
      <c r="H3" s="2"/>
      <c r="I3" s="2"/>
      <c r="J3" s="4"/>
      <c r="K3" s="4" t="s">
        <v>1</v>
      </c>
    </row>
    <row r="4" spans="2:11" ht="15" customHeight="1" x14ac:dyDescent="0.2">
      <c r="B4" s="1"/>
      <c r="C4" s="2"/>
      <c r="D4" s="2"/>
      <c r="E4" s="2"/>
      <c r="F4" s="2"/>
      <c r="G4" s="2"/>
      <c r="H4" s="2"/>
      <c r="I4" s="2"/>
      <c r="J4" s="1"/>
      <c r="K4" s="3" t="s">
        <v>2</v>
      </c>
    </row>
    <row r="5" spans="2:11" ht="15" customHeight="1" x14ac:dyDescent="0.2">
      <c r="B5" s="1"/>
      <c r="C5" s="2"/>
      <c r="D5" s="2"/>
      <c r="E5" s="2"/>
      <c r="F5" s="2"/>
      <c r="G5" s="2"/>
      <c r="H5" s="2"/>
      <c r="I5" s="2"/>
      <c r="J5" s="1"/>
      <c r="K5" s="3"/>
    </row>
    <row r="6" spans="2:11" ht="15" customHeight="1" x14ac:dyDescent="0.2">
      <c r="B6" s="5"/>
      <c r="C6" s="2"/>
      <c r="D6" s="2"/>
      <c r="E6" s="2"/>
      <c r="F6" s="2"/>
      <c r="G6" s="2"/>
      <c r="H6" s="2"/>
      <c r="I6" s="2"/>
      <c r="J6" s="1"/>
      <c r="K6" s="3"/>
    </row>
    <row r="7" spans="2:11" ht="15" customHeight="1" x14ac:dyDescent="0.2">
      <c r="B7" s="5" t="s">
        <v>3</v>
      </c>
      <c r="C7" s="2"/>
      <c r="D7" s="2"/>
      <c r="E7" s="2"/>
      <c r="F7" s="2"/>
      <c r="G7" s="2"/>
      <c r="H7" s="2"/>
      <c r="I7" s="2"/>
      <c r="J7" s="1"/>
      <c r="K7" s="3"/>
    </row>
    <row r="8" spans="2:11" ht="15" customHeight="1" x14ac:dyDescent="0.2">
      <c r="B8" s="56" t="s">
        <v>4</v>
      </c>
      <c r="C8" s="2"/>
      <c r="D8" s="2"/>
      <c r="E8" s="2"/>
      <c r="F8" s="2"/>
      <c r="G8" s="2"/>
      <c r="H8" s="2"/>
      <c r="I8" s="2"/>
      <c r="J8" s="1"/>
      <c r="K8" s="3"/>
    </row>
    <row r="9" spans="2:11" ht="15" customHeight="1" x14ac:dyDescent="0.2">
      <c r="B9" s="5"/>
      <c r="C9" s="2"/>
      <c r="D9" s="2"/>
      <c r="E9" s="2"/>
      <c r="F9" s="2"/>
      <c r="G9" s="2"/>
      <c r="H9" s="2"/>
      <c r="I9" s="2"/>
      <c r="J9" s="1"/>
      <c r="K9" s="3"/>
    </row>
    <row r="10" spans="2:11" ht="15" customHeight="1" x14ac:dyDescent="0.2">
      <c r="B10" s="2"/>
      <c r="C10" s="2"/>
      <c r="D10" s="2"/>
      <c r="E10" s="2"/>
      <c r="F10" s="2"/>
      <c r="G10" s="2"/>
      <c r="H10" s="2"/>
      <c r="I10" s="2"/>
      <c r="J10" s="1"/>
      <c r="K10" s="1"/>
    </row>
    <row r="11" spans="2:11" ht="15" customHeight="1" x14ac:dyDescent="0.2">
      <c r="B11" s="1"/>
      <c r="C11" s="2"/>
      <c r="D11" s="2"/>
      <c r="E11" s="2"/>
      <c r="F11" s="2"/>
      <c r="G11" s="2"/>
      <c r="H11" s="2"/>
      <c r="I11" s="2"/>
      <c r="J11" s="6"/>
      <c r="K11" s="42"/>
    </row>
    <row r="12" spans="2:11" ht="15" customHeight="1" x14ac:dyDescent="0.2">
      <c r="B12" s="5"/>
      <c r="C12" s="2"/>
      <c r="D12" s="2"/>
      <c r="E12" s="2"/>
      <c r="F12" s="2"/>
      <c r="G12" s="2"/>
      <c r="H12" s="2"/>
      <c r="I12" s="2"/>
      <c r="J12" s="57" t="s">
        <v>5</v>
      </c>
      <c r="K12" s="43"/>
    </row>
    <row r="13" spans="2:11" ht="15" customHeight="1" x14ac:dyDescent="0.2">
      <c r="B13" s="5"/>
      <c r="C13" s="2"/>
      <c r="D13" s="2"/>
      <c r="E13" s="2"/>
      <c r="F13" s="2"/>
      <c r="G13" s="2"/>
      <c r="H13" s="2"/>
      <c r="I13" s="2"/>
      <c r="J13" s="8" t="s">
        <v>6</v>
      </c>
      <c r="K13" s="44"/>
    </row>
    <row r="14" spans="2:11" ht="15" customHeight="1" x14ac:dyDescent="0.2">
      <c r="B14" s="5"/>
      <c r="C14" s="2"/>
      <c r="D14" s="2"/>
      <c r="E14" s="2"/>
      <c r="F14" s="2"/>
      <c r="G14" s="2"/>
      <c r="H14" s="2"/>
      <c r="I14" s="2"/>
      <c r="J14" s="8" t="s">
        <v>7</v>
      </c>
      <c r="K14" s="45"/>
    </row>
    <row r="15" spans="2:11" ht="15" customHeight="1" x14ac:dyDescent="0.2">
      <c r="B15" s="5"/>
      <c r="C15" s="2"/>
      <c r="D15" s="2"/>
      <c r="E15" s="2"/>
      <c r="F15" s="2"/>
      <c r="G15" s="2"/>
      <c r="H15" s="2"/>
      <c r="I15" s="2"/>
      <c r="J15" s="9"/>
      <c r="K15" s="46"/>
    </row>
    <row r="16" spans="2:11" ht="15" customHeight="1" x14ac:dyDescent="0.2">
      <c r="B16" s="5" t="s">
        <v>8</v>
      </c>
      <c r="C16" s="2"/>
      <c r="D16" s="2"/>
      <c r="E16" s="2"/>
      <c r="F16" s="2"/>
      <c r="G16" s="2"/>
      <c r="H16" s="2"/>
      <c r="I16" s="2"/>
      <c r="J16" s="10"/>
      <c r="K16" s="7"/>
    </row>
    <row r="17" spans="2:11" ht="15" customHeight="1" x14ac:dyDescent="0.2">
      <c r="B17" s="5"/>
      <c r="C17" s="2"/>
      <c r="D17" s="2"/>
      <c r="E17" s="2"/>
      <c r="F17" s="2"/>
      <c r="G17" s="2"/>
      <c r="H17" s="2"/>
      <c r="I17" s="2"/>
      <c r="J17" s="11"/>
      <c r="K17" s="3"/>
    </row>
    <row r="18" spans="2:11" ht="15" customHeight="1" x14ac:dyDescent="0.2">
      <c r="B18" s="5" t="s">
        <v>9</v>
      </c>
      <c r="C18" s="2"/>
      <c r="D18" s="2"/>
      <c r="E18" s="2"/>
      <c r="F18" s="2"/>
      <c r="G18" s="2"/>
      <c r="H18" s="2"/>
      <c r="I18" s="2"/>
      <c r="J18" s="1"/>
      <c r="K18" s="1"/>
    </row>
    <row r="19" spans="2:11" ht="1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ht="15" customHeight="1" x14ac:dyDescent="0.25">
      <c r="B21" s="12" t="s">
        <v>10</v>
      </c>
      <c r="C21" s="13"/>
      <c r="D21" s="13"/>
      <c r="E21" s="13"/>
      <c r="F21" s="14" t="s">
        <v>11</v>
      </c>
      <c r="G21" s="14" t="s">
        <v>12</v>
      </c>
      <c r="H21" s="15"/>
      <c r="I21" s="16"/>
      <c r="J21" s="14" t="s">
        <v>13</v>
      </c>
      <c r="K21" s="47"/>
    </row>
    <row r="22" spans="2:11" ht="15" customHeight="1" x14ac:dyDescent="0.25">
      <c r="B22" s="17"/>
      <c r="C22" s="18"/>
      <c r="D22" s="18"/>
      <c r="E22" s="18"/>
      <c r="F22" s="19"/>
      <c r="G22" s="20" t="s">
        <v>14</v>
      </c>
      <c r="H22" s="15"/>
      <c r="I22" s="21"/>
      <c r="J22" s="14" t="s">
        <v>15</v>
      </c>
      <c r="K22" s="48" t="s">
        <v>16</v>
      </c>
    </row>
    <row r="23" spans="2:11" ht="15" customHeight="1" x14ac:dyDescent="0.25">
      <c r="B23" s="22" t="s">
        <v>17</v>
      </c>
      <c r="C23" s="23"/>
      <c r="D23" s="23"/>
      <c r="E23" s="23"/>
      <c r="F23" s="24">
        <v>0.2</v>
      </c>
      <c r="G23" s="25">
        <v>4180</v>
      </c>
      <c r="H23" s="26"/>
      <c r="I23" s="27"/>
      <c r="J23" s="28">
        <v>1</v>
      </c>
      <c r="K23" s="49">
        <v>4180</v>
      </c>
    </row>
    <row r="24" spans="2:11" ht="15" customHeight="1" x14ac:dyDescent="0.25">
      <c r="B24" s="22" t="s">
        <v>18</v>
      </c>
      <c r="C24" s="23"/>
      <c r="D24" s="23"/>
      <c r="E24" s="23"/>
      <c r="F24" s="24">
        <v>0.23</v>
      </c>
      <c r="G24" s="25">
        <v>4807</v>
      </c>
      <c r="H24" s="26"/>
      <c r="I24" s="27"/>
      <c r="J24" s="28">
        <v>1</v>
      </c>
      <c r="K24" s="49">
        <v>4807</v>
      </c>
    </row>
    <row r="25" spans="2:11" ht="15" customHeight="1" x14ac:dyDescent="0.25">
      <c r="B25" s="22" t="s">
        <v>19</v>
      </c>
      <c r="C25" s="23"/>
      <c r="D25" s="23"/>
      <c r="E25" s="23"/>
      <c r="F25" s="24">
        <v>0.15</v>
      </c>
      <c r="G25" s="25">
        <v>3135</v>
      </c>
      <c r="H25" s="26"/>
      <c r="I25" s="27"/>
      <c r="J25" s="28">
        <v>1</v>
      </c>
      <c r="K25" s="49">
        <v>3135</v>
      </c>
    </row>
    <row r="26" spans="2:11" ht="15" customHeight="1" x14ac:dyDescent="0.25">
      <c r="B26" s="22" t="s">
        <v>20</v>
      </c>
      <c r="C26" s="23"/>
      <c r="D26" s="23"/>
      <c r="E26" s="23"/>
      <c r="F26" s="24">
        <v>0.34</v>
      </c>
      <c r="G26" s="25">
        <v>7106</v>
      </c>
      <c r="H26" s="26"/>
      <c r="I26" s="27"/>
      <c r="J26" s="28">
        <v>0.46149999999999997</v>
      </c>
      <c r="K26" s="49">
        <v>3279.72</v>
      </c>
    </row>
    <row r="27" spans="2:11" ht="15" customHeight="1" x14ac:dyDescent="0.25">
      <c r="B27" s="22" t="s">
        <v>21</v>
      </c>
      <c r="C27" s="23"/>
      <c r="D27" s="23"/>
      <c r="E27" s="23"/>
      <c r="F27" s="24">
        <v>0.08</v>
      </c>
      <c r="G27" s="25">
        <v>1672</v>
      </c>
      <c r="H27" s="26"/>
      <c r="I27" s="27"/>
      <c r="J27" s="29"/>
      <c r="K27" s="50"/>
    </row>
    <row r="28" spans="2:11" ht="15" customHeight="1" x14ac:dyDescent="0.25">
      <c r="B28" s="30"/>
      <c r="C28" s="13"/>
      <c r="D28" s="13"/>
      <c r="E28" s="31" t="s">
        <v>22</v>
      </c>
      <c r="F28" s="32">
        <v>1</v>
      </c>
      <c r="G28" s="33">
        <f>SUM(G23:G27)</f>
        <v>20900</v>
      </c>
      <c r="H28" s="15"/>
      <c r="I28" s="16"/>
      <c r="J28" s="34"/>
      <c r="K28" s="51">
        <f>SUM(K23:K27)</f>
        <v>15401.72</v>
      </c>
    </row>
    <row r="29" spans="2:11" ht="15" customHeight="1" x14ac:dyDescent="0.25">
      <c r="B29" s="23"/>
      <c r="C29" s="23"/>
      <c r="D29" s="23"/>
      <c r="E29" s="23"/>
      <c r="F29" s="23"/>
      <c r="G29" s="23"/>
      <c r="H29" s="27"/>
      <c r="I29" s="27"/>
      <c r="J29" s="35"/>
      <c r="K29" s="23"/>
    </row>
    <row r="30" spans="2:11" ht="15" customHeight="1" x14ac:dyDescent="0.25">
      <c r="B30" s="27"/>
      <c r="C30" s="27"/>
      <c r="D30" s="27"/>
      <c r="E30" s="27"/>
      <c r="F30" s="27"/>
      <c r="G30" s="27"/>
      <c r="H30" s="27"/>
      <c r="I30" s="27"/>
      <c r="J30" s="36" t="s">
        <v>23</v>
      </c>
      <c r="K30" s="37">
        <f>K28</f>
        <v>15401.72</v>
      </c>
    </row>
    <row r="31" spans="2:11" ht="15" customHeight="1" x14ac:dyDescent="0.25">
      <c r="B31" s="27"/>
      <c r="C31" s="27"/>
      <c r="D31" s="27"/>
      <c r="E31" s="27"/>
      <c r="F31" s="27"/>
      <c r="G31" s="27"/>
      <c r="H31" s="27"/>
      <c r="I31" s="27"/>
      <c r="J31" s="36" t="s">
        <v>24</v>
      </c>
      <c r="K31" s="38">
        <v>14855.1</v>
      </c>
    </row>
    <row r="32" spans="2:11" ht="15" customHeight="1" x14ac:dyDescent="0.25">
      <c r="B32" s="27"/>
      <c r="C32" s="27"/>
      <c r="D32" s="27"/>
      <c r="E32" s="27"/>
      <c r="F32" s="27"/>
      <c r="G32" s="27"/>
      <c r="H32" s="27"/>
      <c r="I32" s="27"/>
      <c r="J32" s="36" t="s">
        <v>25</v>
      </c>
      <c r="K32" s="38">
        <f>K30-K31</f>
        <v>546.61999999999898</v>
      </c>
    </row>
    <row r="33" spans="2:11" ht="15" customHeight="1" x14ac:dyDescent="0.25">
      <c r="B33" s="27"/>
      <c r="C33" s="27"/>
      <c r="D33" s="27"/>
      <c r="E33" s="27"/>
      <c r="F33" s="27"/>
      <c r="G33" s="27"/>
      <c r="H33" s="27"/>
      <c r="I33" s="27"/>
      <c r="J33" s="39"/>
      <c r="K33" s="27"/>
    </row>
    <row r="34" spans="2:11" ht="15" customHeight="1" x14ac:dyDescent="0.25">
      <c r="B34" s="27"/>
      <c r="C34" s="27"/>
      <c r="D34" s="27"/>
      <c r="E34" s="27"/>
      <c r="F34" s="27"/>
      <c r="G34" s="27"/>
      <c r="H34" s="27"/>
      <c r="I34" s="40"/>
      <c r="J34" s="63" t="s">
        <v>26</v>
      </c>
      <c r="K34" s="52">
        <f>K32</f>
        <v>546.61999999999898</v>
      </c>
    </row>
    <row r="35" spans="2:11" ht="15" customHeight="1" x14ac:dyDescent="0.25">
      <c r="B35" s="27"/>
      <c r="C35" s="27"/>
      <c r="D35" s="27"/>
      <c r="E35" s="27"/>
      <c r="F35" s="27"/>
      <c r="G35" s="27"/>
      <c r="H35" s="27"/>
      <c r="I35" s="41"/>
      <c r="J35" s="64" t="s">
        <v>27</v>
      </c>
      <c r="K35" s="53">
        <f>K34*0.2</f>
        <v>109.3239999999998</v>
      </c>
    </row>
    <row r="36" spans="2:11" ht="15" customHeight="1" x14ac:dyDescent="0.25">
      <c r="B36" s="27"/>
      <c r="C36" s="27"/>
      <c r="D36" s="27"/>
      <c r="E36" s="27"/>
      <c r="F36" s="27"/>
      <c r="G36" s="27"/>
      <c r="H36" s="27"/>
      <c r="I36" s="41"/>
      <c r="J36" s="65" t="s">
        <v>28</v>
      </c>
      <c r="K36" s="54">
        <f>K34+K35</f>
        <v>655.94399999999882</v>
      </c>
    </row>
    <row r="37" spans="2:11" ht="15" customHeight="1" x14ac:dyDescent="0.25">
      <c r="B37" s="27"/>
      <c r="C37" s="27"/>
      <c r="D37" s="27"/>
      <c r="E37" s="27"/>
      <c r="F37" s="27"/>
      <c r="G37" s="27"/>
      <c r="H37" s="27"/>
      <c r="I37" s="23"/>
      <c r="J37" s="35"/>
      <c r="K37" s="23"/>
    </row>
    <row r="38" spans="2:11" ht="15" customHeight="1" x14ac:dyDescent="0.25">
      <c r="B38" s="27"/>
      <c r="C38" s="27"/>
      <c r="D38" s="27"/>
      <c r="E38" s="27"/>
      <c r="F38" s="27"/>
      <c r="G38" s="27"/>
      <c r="H38" s="27"/>
      <c r="I38" s="27"/>
      <c r="J38" s="36" t="s">
        <v>29</v>
      </c>
      <c r="K38" s="37">
        <v>104.6</v>
      </c>
    </row>
    <row r="39" spans="2:11" ht="15" customHeight="1" x14ac:dyDescent="0.25">
      <c r="B39" s="27"/>
      <c r="C39" s="27"/>
      <c r="D39" s="27"/>
      <c r="E39" s="27"/>
      <c r="F39" s="27"/>
      <c r="G39" s="27"/>
      <c r="H39" s="27"/>
      <c r="I39" s="27"/>
      <c r="J39" s="39"/>
      <c r="K39" s="27"/>
    </row>
    <row r="40" spans="2:11" ht="15" customHeight="1" x14ac:dyDescent="0.25">
      <c r="B40" s="27"/>
      <c r="C40" s="27"/>
      <c r="D40" s="27"/>
      <c r="E40" s="27"/>
      <c r="F40" s="27"/>
      <c r="G40" s="59"/>
      <c r="H40" s="60"/>
      <c r="I40" s="61"/>
      <c r="J40" s="62" t="s">
        <v>30</v>
      </c>
      <c r="K40" s="58">
        <f>K36-K38</f>
        <v>551.3439999999988</v>
      </c>
    </row>
  </sheetData>
  <pageMargins left="0.7" right="0.7" top="0.75" bottom="0.75" header="0.3" footer="0.3"/>
  <pageSetup paperSize="9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Fabrice Mainguené</cp:lastModifiedBy>
  <dcterms:modified xsi:type="dcterms:W3CDTF">2018-07-12T09:22:51Z</dcterms:modified>
</cp:coreProperties>
</file>